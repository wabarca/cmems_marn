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PCOC" sheetId="1" state="visible" r:id="rId1"/>
    <sheet name="PURE" sheetId="2" state="visible" r:id="rId2"/>
    <sheet name="COBA" sheetId="3" state="visible" r:id="rId3"/>
    <sheet name="PCCE" sheetId="4" state="visible" r:id="rId4"/>
    <sheet name="PCOR" sheetId="5" state="visible" r:id="rId5"/>
    <sheet name="GOFO" sheetId="6" state="visible" r:id="rId6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<sst xmlns="http://schemas.openxmlformats.org/spreadsheetml/2006/main" count="42" uniqueCount="42">
  <si>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Nodo 1: </t>
  </si>
  <si>
    <t xml:space="preserve">3 km</t>
  </si>
  <si>
    <t xml:space="preserve">Nodo 2: </t>
  </si>
  <si>
    <t xml:space="preserve">43 km</t>
  </si>
  <si>
    <t xml:space="preserve">Nodo 3: </t>
  </si>
  <si>
    <t xml:space="preserve">81 km</t>
  </si>
  <si>
    <t xml:space="preserve">FECHA - HORA</t>
  </si>
  <si>
    <t xml:space="preserve">TEMP </t>
  </si>
  <si>
    <t xml:space="preserve">SAL </t>
  </si>
  <si>
    <t xml:space="preserve">VEL </t>
  </si>
  <si>
    <t xml:space="preserve">DIR </t>
  </si>
  <si>
    <t>MÁXIMO</t>
  </si>
  <si>
    <t>MEDIANA</t>
  </si>
  <si>
    <t>MÍNIMO</t>
  </si>
  <si>
    <t xml:space="preserve">Nodo 4: </t>
  </si>
  <si>
    <t xml:space="preserve">15 km</t>
  </si>
  <si>
    <t xml:space="preserve">Nodo 5: </t>
  </si>
  <si>
    <t xml:space="preserve">30 km</t>
  </si>
  <si>
    <t xml:space="preserve">Nodo 6: </t>
  </si>
  <si>
    <t xml:space="preserve">65 km</t>
  </si>
  <si>
    <t xml:space="preserve">Nodo 7: </t>
  </si>
  <si>
    <t xml:space="preserve">9 km</t>
  </si>
  <si>
    <t xml:space="preserve">Nodo 8: </t>
  </si>
  <si>
    <t xml:space="preserve">37 km</t>
  </si>
  <si>
    <t xml:space="preserve">Nodo 9: </t>
  </si>
  <si>
    <t xml:space="preserve">72 km</t>
  </si>
  <si>
    <t xml:space="preserve">Nodo 10: </t>
  </si>
  <si>
    <t xml:space="preserve">Nodo 11: </t>
  </si>
  <si>
    <t xml:space="preserve">39 km</t>
  </si>
  <si>
    <t xml:space="preserve">Nodo 12: </t>
  </si>
  <si>
    <t xml:space="preserve">73 km</t>
  </si>
  <si>
    <t xml:space="preserve">Nodo 13: </t>
  </si>
  <si>
    <t xml:space="preserve">Nodo 14: </t>
  </si>
  <si>
    <t xml:space="preserve">36 km</t>
  </si>
  <si>
    <t xml:space="preserve">Nodo 15: </t>
  </si>
  <si>
    <t xml:space="preserve">71 km</t>
  </si>
  <si>
    <t xml:space="preserve">Nodo 16: </t>
  </si>
  <si>
    <t xml:space="preserve">6 km</t>
  </si>
  <si>
    <t xml:space="preserve">Nodo 17: </t>
  </si>
  <si>
    <t xml:space="preserve">52 km</t>
  </si>
  <si>
    <t xml:space="preserve">Nodo 18: </t>
  </si>
  <si>
    <t xml:space="preserve">100 km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</si>
</sst>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\ hh"/>
  </numFmts>
  <fonts count="3">
    <font>
      <sz val="11.000000"/>
      <color theme="1"/>
      <name val="Calibri"/>
    </font>
    <font>
      <sz val="10.000000"/>
      <color theme="1"/>
      <name val="Arial"/>
    </font>
    <font>
      <sz val="10.00000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 applyAlignment="1">
      <alignment horizontal="center" vertical="center"/>
    </xf>
    <xf fontId="1" fillId="0" borderId="1" numFmtId="164" xfId="0" applyNumberFormat="1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1" numFmtId="165" xfId="0" applyNumberFormat="1" applyFont="1" applyBorder="1" applyAlignment="1">
      <alignment horizontal="center" vertical="center"/>
    </xf>
    <xf fontId="1" fillId="0" borderId="1" numFmtId="1" xfId="0" applyNumberFormat="1" applyFont="1" applyBorder="1" applyAlignment="1">
      <alignment horizontal="center" vertical="center"/>
    </xf>
    <xf fontId="1" fillId="0" borderId="0" numFmtId="1" xfId="0" applyNumberFormat="1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N3" activeCellId="0" sqref="N3:Q34"/>
    </sheetView>
  </sheetViews>
  <sheetFormatPr defaultColWidth="11.5703125" defaultRowHeight="15"/>
  <cols>
    <col bestFit="1" customWidth="1" min="1" max="1" width="14.28515625"/>
    <col bestFit="1" customWidth="1" min="2" max="2" width="6.7109375"/>
    <col bestFit="1" customWidth="1" min="3" max="4" width="5.140625"/>
    <col bestFit="1" customWidth="1" min="5" max="5" width="4.5703125"/>
    <col bestFit="1" customWidth="1" min="7" max="7" width="14.28515625"/>
    <col bestFit="1" customWidth="1" min="8" max="8" width="6.7109375"/>
    <col bestFit="1" customWidth="1" min="9" max="9" width="5.140625"/>
    <col bestFit="1" customWidth="1" min="10" max="10" width="6.140625"/>
    <col bestFit="1" customWidth="1" min="11" max="11" width="4.5703125"/>
    <col bestFit="1" customWidth="1" min="13" max="13" width="14.28515625"/>
    <col bestFit="1" customWidth="1" min="14" max="14" width="6.7109375"/>
    <col bestFit="1" customWidth="1" min="15" max="15" width="5.140625"/>
    <col bestFit="1" customWidth="1" min="16" max="16" width="6.140625"/>
    <col bestFit="1" customWidth="1" min="17" max="17" width="4.5703125"/>
  </cols>
  <sheetData>
    <row r="1" ht="15.75" customHeight="1">
      <c r="A1" s="1" t="s">
        <v>0</v>
      </c>
      <c r="B1" s="2">
        <v>-90.099999999999994</v>
      </c>
      <c r="C1" s="2">
        <v>13.66</v>
      </c>
      <c r="D1" s="1" t="s">
        <v>1</v>
      </c>
      <c r="E1" s="1"/>
      <c r="F1" s="3"/>
      <c r="G1" s="1" t="s">
        <v>2</v>
      </c>
      <c r="H1" s="2">
        <v>-90.349999999999994</v>
      </c>
      <c r="I1" s="2">
        <v>13.41</v>
      </c>
      <c r="J1" s="1" t="s">
        <v>3</v>
      </c>
      <c r="K1" s="1"/>
      <c r="L1" s="3"/>
      <c r="M1" s="1" t="s">
        <v>4</v>
      </c>
      <c r="N1" s="2">
        <v>-90.510000000000005</v>
      </c>
      <c r="O1" s="2">
        <v>13.08</v>
      </c>
      <c r="P1" s="1" t="s">
        <v>5</v>
      </c>
      <c r="Q1" s="1"/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/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</row>
    <row r="3" ht="15.75" customHeight="1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ht="15.75" customHeight="1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ht="15.75" customHeight="1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ht="15.75" customHeight="1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ht="15.75" customHeight="1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ht="15.75" customHeight="1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ht="15.75" customHeight="1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ht="15.75" customHeight="1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ht="15.75" customHeight="1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ht="15.75" customHeight="1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ht="15.75" customHeight="1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ht="15.75" customHeight="1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ht="15.75" customHeight="1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ht="15.75" customHeight="1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ht="15.75" customHeight="1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ht="15.75" customHeight="1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ht="15.75" customHeight="1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ht="15.75" customHeight="1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ht="15.75" customHeight="1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ht="15.75" customHeight="1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ht="15.75" customHeight="1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ht="15.75" customHeight="1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ht="15.75" customHeight="1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ht="15.75" customHeight="1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ht="15.75" customHeight="1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ht="15.75" customHeight="1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ht="15.75" customHeight="1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ht="15.75" customHeight="1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ht="15.75" customHeight="1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ht="15.75" customHeight="1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ht="15.75" customHeight="1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ht="15.75" customHeight="1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ht="15.75" customHeight="1">
      <c r="A35" s="1" t="s">
        <v>11</v>
      </c>
      <c r="B35" s="1"/>
      <c r="C35" s="5">
        <f>MAX(C3:C34)</f>
        <v>0</v>
      </c>
      <c r="D35" s="2">
        <f>MAX(D3:D34)</f>
        <v>0</v>
      </c>
      <c r="E35" s="1"/>
      <c r="F35" s="7"/>
      <c r="G35" s="1" t="s">
        <v>11</v>
      </c>
      <c r="H35" s="1"/>
      <c r="I35" s="5">
        <f>MAX(I3:I34)</f>
        <v>0</v>
      </c>
      <c r="J35" s="2">
        <f>MAX(J3:J34)</f>
        <v>0</v>
      </c>
      <c r="K35" s="1"/>
      <c r="L35" s="7"/>
      <c r="M35" s="1" t="s">
        <v>11</v>
      </c>
      <c r="N35" s="1"/>
      <c r="O35" s="5">
        <f>MAX(O3:O34)</f>
        <v>0</v>
      </c>
      <c r="P35" s="2">
        <f>MAX(P3:P34)</f>
        <v>0</v>
      </c>
      <c r="Q35" s="1"/>
    </row>
    <row r="36" ht="15.75" customHeight="1">
      <c r="A36" s="1" t="s">
        <v>12</v>
      </c>
      <c r="B36" s="1"/>
      <c r="C36" s="1"/>
      <c r="D36" s="1"/>
      <c r="E36" s="5" t="e">
        <f>MEDIAN(E3:E34)</f>
        <v>#VALUE!</v>
      </c>
      <c r="F36" s="7"/>
      <c r="G36" s="1" t="s">
        <v>12</v>
      </c>
      <c r="H36" s="1"/>
      <c r="I36" s="1"/>
      <c r="J36" s="1"/>
      <c r="K36" s="5" t="e">
        <f>MEDIAN(K3:K34)</f>
        <v>#VALUE!</v>
      </c>
      <c r="L36" s="7"/>
      <c r="M36" s="1" t="s">
        <v>12</v>
      </c>
      <c r="N36" s="1"/>
      <c r="O36" s="1"/>
      <c r="P36" s="1"/>
      <c r="Q36" s="5" t="e">
        <f>MEDIAN(Q3:Q34)</f>
        <v>#VALUE!</v>
      </c>
    </row>
    <row r="37" ht="15.75" customHeight="1">
      <c r="A37" s="5" t="s">
        <v>13</v>
      </c>
      <c r="B37" s="5">
        <f>MIN(B3:B34)</f>
        <v>0</v>
      </c>
      <c r="C37" s="5"/>
      <c r="D37" s="5"/>
      <c r="E37" s="5"/>
      <c r="F37" s="6"/>
      <c r="G37" s="5" t="s">
        <v>13</v>
      </c>
      <c r="H37" s="5">
        <f>MIN(H3:H34)</f>
        <v>0</v>
      </c>
      <c r="I37" s="5"/>
      <c r="J37" s="5"/>
      <c r="K37" s="5"/>
      <c r="L37" s="6"/>
      <c r="M37" s="5" t="s">
        <v>13</v>
      </c>
      <c r="N37" s="5">
        <f>MIN(N3:N34)</f>
        <v>0</v>
      </c>
      <c r="O37" s="5"/>
      <c r="P37" s="5"/>
      <c r="Q37" s="5"/>
    </row>
  </sheetData>
  <printOptions headings="0" gridLines="0"/>
  <pageMargins left="0.69999999999999996" right="0.69999999999999996" top="0.75" bottom="0.75" header="0.51181102362205" footer="0.51181102362205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N3" activeCellId="0" sqref="N3:Q34"/>
    </sheetView>
  </sheetViews>
  <sheetFormatPr defaultColWidth="11.5703125" defaultRowHeight="15"/>
  <cols>
    <col bestFit="1" customWidth="1" min="1" max="1" width="14.28515625"/>
    <col bestFit="1" customWidth="1" min="2" max="2" width="6.7109375"/>
    <col bestFit="1" customWidth="1" min="3" max="3" width="5.140625"/>
    <col bestFit="1" customWidth="1" min="4" max="4" width="6.140625"/>
    <col bestFit="1" customWidth="1" min="5" max="5" width="4.5703125"/>
    <col bestFit="1" customWidth="1" min="7" max="7" width="14.28515625"/>
    <col bestFit="1" customWidth="1" min="8" max="8" width="6.7109375"/>
    <col bestFit="1" customWidth="1" min="9" max="9" width="5.140625"/>
    <col bestFit="1" customWidth="1" min="10" max="10" width="6.140625"/>
    <col bestFit="1" customWidth="1" min="11" max="11" width="4.5703125"/>
    <col bestFit="1" customWidth="1" min="13" max="13" width="14.28515625"/>
    <col bestFit="1" customWidth="1" min="14" max="14" width="6.7109375"/>
    <col bestFit="1" customWidth="1" min="15" max="15" width="5.140625"/>
    <col bestFit="1" customWidth="1" min="16" max="16" width="6.140625"/>
    <col bestFit="1" customWidth="1" min="17" max="17" width="4.5703125"/>
  </cols>
  <sheetData>
    <row r="1" ht="15.75" customHeight="1">
      <c r="A1" s="8" t="s">
        <v>14</v>
      </c>
      <c r="B1" s="9">
        <v>-89.680000000000007</v>
      </c>
      <c r="C1" s="9">
        <v>13.41</v>
      </c>
      <c r="D1" s="1" t="s">
        <v>15</v>
      </c>
      <c r="E1" s="1"/>
      <c r="F1" s="3"/>
      <c r="G1" s="1" t="s">
        <v>16</v>
      </c>
      <c r="H1" s="2">
        <v>-89.930000000000007</v>
      </c>
      <c r="I1" s="2">
        <v>13.33</v>
      </c>
      <c r="J1" s="1" t="s">
        <v>17</v>
      </c>
      <c r="K1" s="1"/>
      <c r="L1" s="3"/>
      <c r="M1" s="1" t="s">
        <v>18</v>
      </c>
      <c r="N1" s="2">
        <v>-90.010000000000005</v>
      </c>
      <c r="O1" s="2">
        <v>13</v>
      </c>
      <c r="P1" s="1" t="s">
        <v>19</v>
      </c>
      <c r="Q1" s="1"/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/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</row>
    <row r="3" ht="15.75" customHeight="1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ht="15.75" customHeight="1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ht="15.75" customHeight="1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ht="15.75" customHeight="1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ht="15.75" customHeight="1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ht="15.75" customHeight="1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ht="15.75" customHeight="1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ht="15.75" customHeight="1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ht="15.75" customHeight="1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ht="15.75" customHeight="1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ht="15.75" customHeight="1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ht="15.75" customHeight="1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ht="15.75" customHeight="1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ht="15.75" customHeight="1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ht="15.75" customHeight="1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ht="15.75" customHeight="1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ht="15.75" customHeight="1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ht="15.75" customHeight="1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ht="15.75" customHeight="1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ht="15.75" customHeight="1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ht="15.75" customHeight="1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ht="15.75" customHeight="1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ht="15.75" customHeight="1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ht="15.75" customHeight="1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ht="15.75" customHeight="1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ht="15.75" customHeight="1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ht="15.75" customHeight="1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ht="15.75" customHeight="1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ht="15.75" customHeight="1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ht="15.75" customHeight="1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ht="15.75" customHeight="1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ht="15.75" customHeight="1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ht="15.75" customHeight="1">
      <c r="A35" s="1" t="s">
        <v>11</v>
      </c>
      <c r="B35" s="1"/>
      <c r="C35" s="5">
        <f>MAX(C3:C34)</f>
        <v>0</v>
      </c>
      <c r="D35" s="2">
        <f>MAX(D3:D34)</f>
        <v>0</v>
      </c>
      <c r="E35" s="1"/>
      <c r="F35" s="7"/>
      <c r="G35" s="1" t="s">
        <v>11</v>
      </c>
      <c r="H35" s="1"/>
      <c r="I35" s="5">
        <f>MAX(I3:I34)</f>
        <v>0</v>
      </c>
      <c r="J35" s="2">
        <f>MAX(J3:J34)</f>
        <v>0</v>
      </c>
      <c r="K35" s="1"/>
      <c r="L35" s="7"/>
      <c r="M35" s="1" t="s">
        <v>11</v>
      </c>
      <c r="N35" s="1"/>
      <c r="O35" s="5">
        <f>MAX(O3:O34)</f>
        <v>0</v>
      </c>
      <c r="P35" s="2">
        <f>MAX(P3:P34)</f>
        <v>0</v>
      </c>
      <c r="Q35" s="1"/>
    </row>
    <row r="36" ht="15.75" customHeight="1">
      <c r="A36" s="1" t="s">
        <v>12</v>
      </c>
      <c r="B36" s="1"/>
      <c r="C36" s="1"/>
      <c r="D36" s="1"/>
      <c r="E36" s="5" t="e">
        <f>MEDIAN(E3:E34)</f>
        <v>#VALUE!</v>
      </c>
      <c r="F36" s="7"/>
      <c r="G36" s="1" t="s">
        <v>12</v>
      </c>
      <c r="H36" s="1"/>
      <c r="I36" s="1"/>
      <c r="J36" s="1"/>
      <c r="K36" s="5" t="e">
        <f>MEDIAN(K3:K34)</f>
        <v>#VALUE!</v>
      </c>
      <c r="L36" s="7"/>
      <c r="M36" s="1" t="s">
        <v>12</v>
      </c>
      <c r="N36" s="1"/>
      <c r="O36" s="1"/>
      <c r="P36" s="1"/>
      <c r="Q36" s="5" t="e">
        <f>MEDIAN(Q3:Q34)</f>
        <v>#VALUE!</v>
      </c>
    </row>
    <row r="37" ht="15.75" customHeight="1">
      <c r="A37" s="5" t="s">
        <v>13</v>
      </c>
      <c r="B37" s="5">
        <f>MIN(B3:B34)</f>
        <v>0</v>
      </c>
      <c r="C37" s="5"/>
      <c r="D37" s="5"/>
      <c r="E37" s="5"/>
      <c r="F37" s="6"/>
      <c r="G37" s="5" t="s">
        <v>13</v>
      </c>
      <c r="H37" s="5">
        <f>MIN(H3:H34)</f>
        <v>0</v>
      </c>
      <c r="I37" s="5"/>
      <c r="J37" s="5"/>
      <c r="K37" s="5"/>
      <c r="L37" s="6"/>
      <c r="M37" s="5" t="s">
        <v>13</v>
      </c>
      <c r="N37" s="5">
        <f>MIN(N3:N34)</f>
        <v>0</v>
      </c>
      <c r="O37" s="5"/>
      <c r="P37" s="5"/>
      <c r="Q37" s="5"/>
    </row>
  </sheetData>
  <printOptions headings="0" gridLines="0"/>
  <pageMargins left="0.69999999999999996" right="0.69999999999999996" top="0.75" bottom="0.75" header="0.51181102362205" footer="0.51181102362205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N3" activeCellId="0" sqref="N3:Q34"/>
    </sheetView>
  </sheetViews>
  <sheetFormatPr defaultColWidth="11.5703125" defaultRowHeight="15"/>
  <cols>
    <col bestFit="1" customWidth="1" min="1" max="1" width="14.28515625"/>
    <col bestFit="1" customWidth="1" min="2" max="2" width="6.7109375"/>
    <col bestFit="1" customWidth="1" min="3" max="4" width="5.140625"/>
    <col bestFit="1" customWidth="1" min="5" max="5" width="4.5703125"/>
    <col bestFit="1" customWidth="1" min="7" max="7" width="14.28515625"/>
    <col bestFit="1" customWidth="1" min="8" max="8" width="6.7109375"/>
    <col bestFit="1" customWidth="1" min="9" max="9" width="5.140625"/>
    <col bestFit="1" customWidth="1" min="10" max="10" width="6.140625"/>
    <col bestFit="1" customWidth="1" min="11" max="11" width="4.5703125"/>
    <col bestFit="1" customWidth="1" min="13" max="13" width="14.28515625"/>
    <col bestFit="1" customWidth="1" min="14" max="14" width="6.7109375"/>
    <col bestFit="1" customWidth="1" min="15" max="15" width="5.140625"/>
    <col bestFit="1" customWidth="1" min="16" max="16" width="6.140625"/>
    <col bestFit="1" customWidth="1" min="17" max="17" width="4.5703125"/>
  </cols>
  <sheetData>
    <row r="1" ht="15.75" customHeight="1">
      <c r="A1" s="1" t="s">
        <v>20</v>
      </c>
      <c r="B1" s="2">
        <v>-89.349999999999994</v>
      </c>
      <c r="C1" s="2">
        <v>13.33</v>
      </c>
      <c r="D1" s="1" t="s">
        <v>21</v>
      </c>
      <c r="E1" s="1"/>
      <c r="F1" s="3"/>
      <c r="G1" s="1" t="s">
        <v>22</v>
      </c>
      <c r="H1" s="2">
        <v>-89.510000000000005</v>
      </c>
      <c r="I1" s="2">
        <v>13.25</v>
      </c>
      <c r="J1" s="1" t="s">
        <v>23</v>
      </c>
      <c r="K1" s="1"/>
      <c r="L1" s="3"/>
      <c r="M1" s="1" t="s">
        <v>24</v>
      </c>
      <c r="N1" s="2">
        <v>-89.599999999999994</v>
      </c>
      <c r="O1" s="2">
        <v>12.91</v>
      </c>
      <c r="P1" s="1" t="s">
        <v>25</v>
      </c>
      <c r="Q1" s="1"/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/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</row>
    <row r="3" ht="15.75" customHeight="1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ht="15.75" customHeight="1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ht="15.75" customHeight="1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ht="15.75" customHeight="1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ht="15.75" customHeight="1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ht="15.75" customHeight="1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ht="15.75" customHeight="1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ht="15.75" customHeight="1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ht="15.75" customHeight="1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ht="15.75" customHeight="1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ht="15.75" customHeight="1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ht="15.75" customHeight="1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ht="15.75" customHeight="1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ht="15.75" customHeight="1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ht="15.75" customHeight="1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ht="15.75" customHeight="1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ht="15.75" customHeight="1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ht="15.75" customHeight="1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ht="15.75" customHeight="1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ht="15.75" customHeight="1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ht="15.75" customHeight="1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ht="15.75" customHeight="1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ht="15.75" customHeight="1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ht="15.75" customHeight="1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ht="15.75" customHeight="1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ht="15.75" customHeight="1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ht="15.75" customHeight="1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ht="15.75" customHeight="1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ht="15.75" customHeight="1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ht="15.75" customHeight="1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ht="15.75" customHeight="1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ht="15.75" customHeight="1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ht="15.75" customHeight="1">
      <c r="A35" s="1" t="s">
        <v>11</v>
      </c>
      <c r="B35" s="1"/>
      <c r="C35" s="5">
        <f>MAX(C3:C34)</f>
        <v>0</v>
      </c>
      <c r="D35" s="2">
        <f>MAX(D3:D34)</f>
        <v>0</v>
      </c>
      <c r="E35" s="1"/>
      <c r="F35" s="7"/>
      <c r="G35" s="1" t="s">
        <v>11</v>
      </c>
      <c r="H35" s="1"/>
      <c r="I35" s="5">
        <f>MAX(I3:I34)</f>
        <v>0</v>
      </c>
      <c r="J35" s="2">
        <f>MAX(J3:J34)</f>
        <v>0</v>
      </c>
      <c r="K35" s="1"/>
      <c r="L35" s="7"/>
      <c r="M35" s="1" t="s">
        <v>11</v>
      </c>
      <c r="N35" s="1"/>
      <c r="O35" s="5">
        <f>MAX(O3:O34)</f>
        <v>0</v>
      </c>
      <c r="P35" s="2">
        <f>MAX(P3:P34)</f>
        <v>0</v>
      </c>
      <c r="Q35" s="1"/>
    </row>
    <row r="36" ht="15.75" customHeight="1">
      <c r="A36" s="1" t="s">
        <v>12</v>
      </c>
      <c r="B36" s="1"/>
      <c r="C36" s="1"/>
      <c r="D36" s="1"/>
      <c r="E36" s="5" t="e">
        <f>MEDIAN(E3:E34)</f>
        <v>#VALUE!</v>
      </c>
      <c r="F36" s="7"/>
      <c r="G36" s="1" t="s">
        <v>12</v>
      </c>
      <c r="H36" s="1"/>
      <c r="I36" s="1"/>
      <c r="J36" s="1"/>
      <c r="K36" s="5" t="e">
        <f>MEDIAN(K3:K34)</f>
        <v>#VALUE!</v>
      </c>
      <c r="L36" s="7"/>
      <c r="M36" s="1" t="s">
        <v>12</v>
      </c>
      <c r="N36" s="1"/>
      <c r="O36" s="1"/>
      <c r="P36" s="1"/>
      <c r="Q36" s="5" t="e">
        <f>MEDIAN(Q3:Q34)</f>
        <v>#VALUE!</v>
      </c>
    </row>
    <row r="37" ht="15.75" customHeight="1">
      <c r="A37" s="5" t="s">
        <v>13</v>
      </c>
      <c r="B37" s="5">
        <f>MIN(B3:B34)</f>
        <v>0</v>
      </c>
      <c r="C37" s="5"/>
      <c r="D37" s="5"/>
      <c r="E37" s="5"/>
      <c r="F37" s="6"/>
      <c r="G37" s="5" t="s">
        <v>13</v>
      </c>
      <c r="H37" s="5">
        <f>MIN(H3:H34)</f>
        <v>0</v>
      </c>
      <c r="I37" s="5"/>
      <c r="J37" s="5"/>
      <c r="K37" s="5"/>
      <c r="L37" s="6"/>
      <c r="M37" s="5" t="s">
        <v>13</v>
      </c>
      <c r="N37" s="5">
        <f>MIN(N3:N34)</f>
        <v>0</v>
      </c>
      <c r="O37" s="5"/>
      <c r="P37" s="5"/>
      <c r="Q37" s="5"/>
    </row>
  </sheetData>
  <printOptions headings="0" gridLines="0"/>
  <pageMargins left="0.69999999999999996" right="0.69999999999999996" top="0.75" bottom="0.75" header="0.51181102362205" footer="0.51181102362205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N3" activeCellId="0" sqref="N3:Q34"/>
    </sheetView>
  </sheetViews>
  <sheetFormatPr defaultColWidth="11.5703125" defaultRowHeight="15"/>
  <cols>
    <col bestFit="1" customWidth="1" min="1" max="1" width="14.28515625"/>
    <col bestFit="1" customWidth="1" min="2" max="2" width="6.7109375"/>
    <col bestFit="1" customWidth="1" min="3" max="4" width="5.140625"/>
    <col bestFit="1" customWidth="1" min="5" max="5" width="4.5703125"/>
    <col bestFit="1" customWidth="1" min="7" max="7" width="14.28515625"/>
    <col bestFit="1" customWidth="1" min="8" max="8" width="6.7109375"/>
    <col bestFit="1" customWidth="1" min="9" max="9" width="5.140625"/>
    <col bestFit="1" customWidth="1" min="10" max="10" width="6.140625"/>
    <col bestFit="1" customWidth="1" min="11" max="11" width="4.5703125"/>
    <col bestFit="1" customWidth="1" min="13" max="13" width="14.28515625"/>
    <col bestFit="1" customWidth="1" min="14" max="14" width="6.7109375"/>
    <col bestFit="1" customWidth="1" min="15" max="15" width="5.140625"/>
    <col bestFit="1" customWidth="1" min="16" max="16" width="6.140625"/>
    <col bestFit="1" customWidth="1" min="17" max="17" width="4.5703125"/>
  </cols>
  <sheetData>
    <row r="1" ht="15.75" customHeight="1">
      <c r="A1" s="1" t="s">
        <v>26</v>
      </c>
      <c r="B1" s="2">
        <v>-89.930000000000007</v>
      </c>
      <c r="C1" s="2">
        <v>13.25</v>
      </c>
      <c r="D1" s="1" t="s">
        <v>21</v>
      </c>
      <c r="E1" s="1"/>
      <c r="F1" s="3"/>
      <c r="G1" s="1" t="s">
        <v>27</v>
      </c>
      <c r="H1" s="2">
        <v>-89.099999999999994</v>
      </c>
      <c r="I1" s="2">
        <v>13.08</v>
      </c>
      <c r="J1" s="1" t="s">
        <v>28</v>
      </c>
      <c r="K1" s="1"/>
      <c r="L1" s="3"/>
      <c r="M1" s="1" t="s">
        <v>29</v>
      </c>
      <c r="N1" s="2">
        <v>-89.180000000000007</v>
      </c>
      <c r="O1" s="2">
        <v>12.75</v>
      </c>
      <c r="P1" s="1" t="s">
        <v>30</v>
      </c>
      <c r="Q1" s="1"/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/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</row>
    <row r="3" ht="15.75" customHeight="1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ht="15.75" customHeight="1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ht="15.75" customHeight="1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ht="15.75" customHeight="1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ht="15.75" customHeight="1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ht="15.75" customHeight="1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ht="15.75" customHeight="1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ht="15.75" customHeight="1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ht="15.75" customHeight="1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ht="15.75" customHeight="1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ht="15.75" customHeight="1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ht="15.75" customHeight="1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ht="15.75" customHeight="1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ht="15.75" customHeight="1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ht="15.75" customHeight="1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ht="15.75" customHeight="1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ht="15.75" customHeight="1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ht="15.75" customHeight="1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ht="15.75" customHeight="1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ht="15.75" customHeight="1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ht="15.75" customHeight="1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ht="15.75" customHeight="1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ht="15.75" customHeight="1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ht="15.75" customHeight="1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ht="15.75" customHeight="1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ht="15.75" customHeight="1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ht="15.75" customHeight="1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ht="15.75" customHeight="1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ht="15.75" customHeight="1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ht="15.75" customHeight="1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ht="15.75" customHeight="1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ht="15.75" customHeight="1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ht="15.75" customHeight="1">
      <c r="A35" s="1" t="s">
        <v>11</v>
      </c>
      <c r="B35" s="1"/>
      <c r="C35" s="5">
        <f>MAX(C3:C34)</f>
        <v>0</v>
      </c>
      <c r="D35" s="2">
        <f>MAX(D3:D34)</f>
        <v>0</v>
      </c>
      <c r="E35" s="1"/>
      <c r="F35" s="7"/>
      <c r="G35" s="1" t="s">
        <v>11</v>
      </c>
      <c r="H35" s="1"/>
      <c r="I35" s="5">
        <f>MAX(I3:I34)</f>
        <v>0</v>
      </c>
      <c r="J35" s="2">
        <f>MAX(J3:J34)</f>
        <v>0</v>
      </c>
      <c r="K35" s="1"/>
      <c r="L35" s="7"/>
      <c r="M35" s="1" t="s">
        <v>11</v>
      </c>
      <c r="N35" s="1"/>
      <c r="O35" s="5">
        <f>MAX(O3:O34)</f>
        <v>0</v>
      </c>
      <c r="P35" s="2">
        <f>MAX(P3:P34)</f>
        <v>0</v>
      </c>
      <c r="Q35" s="1"/>
    </row>
    <row r="36" ht="15.75" customHeight="1">
      <c r="A36" s="1" t="s">
        <v>12</v>
      </c>
      <c r="B36" s="1"/>
      <c r="C36" s="1"/>
      <c r="D36" s="1"/>
      <c r="E36" s="5" t="e">
        <f>MEDIAN(E3:E34)</f>
        <v>#VALUE!</v>
      </c>
      <c r="F36" s="7"/>
      <c r="G36" s="1" t="s">
        <v>12</v>
      </c>
      <c r="H36" s="1"/>
      <c r="I36" s="1"/>
      <c r="J36" s="1"/>
      <c r="K36" s="5" t="e">
        <f>MEDIAN(K3:K34)</f>
        <v>#VALUE!</v>
      </c>
      <c r="L36" s="7"/>
      <c r="M36" s="1" t="s">
        <v>12</v>
      </c>
      <c r="N36" s="1"/>
      <c r="O36" s="1"/>
      <c r="P36" s="1"/>
      <c r="Q36" s="5" t="e">
        <f>MEDIAN(Q3:Q34)</f>
        <v>#VALUE!</v>
      </c>
    </row>
    <row r="37" ht="15.75" customHeight="1">
      <c r="A37" s="5" t="s">
        <v>13</v>
      </c>
      <c r="B37" s="5">
        <f>MIN(B3:B34)</f>
        <v>0</v>
      </c>
      <c r="C37" s="5"/>
      <c r="D37" s="5"/>
      <c r="E37" s="5"/>
      <c r="F37" s="6"/>
      <c r="G37" s="5" t="s">
        <v>13</v>
      </c>
      <c r="H37" s="5">
        <f>MIN(H3:H34)</f>
        <v>0</v>
      </c>
      <c r="I37" s="5"/>
      <c r="J37" s="5"/>
      <c r="K37" s="5"/>
      <c r="L37" s="6"/>
      <c r="M37" s="5" t="s">
        <v>13</v>
      </c>
      <c r="N37" s="5">
        <f>MIN(N3:N34)</f>
        <v>0</v>
      </c>
      <c r="O37" s="5"/>
      <c r="P37" s="5"/>
      <c r="Q37" s="5"/>
    </row>
  </sheetData>
  <printOptions headings="0" gridLines="0"/>
  <pageMargins left="0.69999999999999996" right="0.69999999999999996" top="0.75" bottom="0.75" header="0.51181102362205" footer="0.51181102362205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N3" activeCellId="0" sqref="N3:Q34"/>
    </sheetView>
  </sheetViews>
  <sheetFormatPr defaultColWidth="11.5703125" defaultRowHeight="15"/>
  <cols>
    <col bestFit="1" customWidth="1" min="1" max="1" width="14.28515625"/>
    <col bestFit="1" customWidth="1" min="2" max="2" width="6.7109375"/>
    <col bestFit="1" customWidth="1" min="3" max="4" width="5.140625"/>
    <col bestFit="1" customWidth="1" min="5" max="5" width="4.5703125"/>
    <col bestFit="1" customWidth="1" min="7" max="7" width="14.28515625"/>
    <col bestFit="1" customWidth="1" min="8" max="8" width="6.7109375"/>
    <col bestFit="1" customWidth="1" min="9" max="9" width="5.140625"/>
    <col bestFit="1" customWidth="1" min="10" max="10" width="6.140625"/>
    <col bestFit="1" customWidth="1" min="11" max="11" width="4.5703125"/>
    <col bestFit="1" customWidth="1" min="13" max="13" width="14.28515625"/>
    <col bestFit="1" customWidth="1" min="14" max="14" width="6.7109375"/>
    <col bestFit="1" customWidth="1" min="15" max="15" width="5.140625"/>
    <col bestFit="1" customWidth="1" min="16" max="16" width="6.140625"/>
    <col bestFit="1" customWidth="1" min="17" max="17" width="4.5703125"/>
  </cols>
  <sheetData>
    <row r="1" ht="15.75" customHeight="1">
      <c r="A1" s="1" t="s">
        <v>31</v>
      </c>
      <c r="B1" s="2">
        <v>-88.510000000000005</v>
      </c>
      <c r="C1" s="2">
        <v>13.08</v>
      </c>
      <c r="D1" s="1" t="s">
        <v>21</v>
      </c>
      <c r="E1" s="1"/>
      <c r="F1" s="3"/>
      <c r="G1" s="1" t="s">
        <v>32</v>
      </c>
      <c r="H1" s="2">
        <v>-88.760000000000005</v>
      </c>
      <c r="I1" s="2">
        <v>12.91</v>
      </c>
      <c r="J1" s="1" t="s">
        <v>33</v>
      </c>
      <c r="K1" s="1"/>
      <c r="L1" s="3"/>
      <c r="M1" s="1" t="s">
        <v>34</v>
      </c>
      <c r="N1" s="2">
        <v>-88.849999999999994</v>
      </c>
      <c r="O1" s="2">
        <v>12.58</v>
      </c>
      <c r="P1" s="1" t="s">
        <v>35</v>
      </c>
      <c r="Q1" s="1"/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/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</row>
    <row r="3" ht="15.75" customHeight="1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ht="15.75" customHeight="1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ht="15.75" customHeight="1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ht="15.75" customHeight="1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ht="15.75" customHeight="1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ht="15.75" customHeight="1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ht="15.75" customHeight="1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ht="15.75" customHeight="1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ht="15.75" customHeight="1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ht="15.75" customHeight="1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ht="15.75" customHeight="1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ht="15.75" customHeight="1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ht="15.75" customHeight="1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ht="15.75" customHeight="1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ht="15.75" customHeight="1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ht="15.75" customHeight="1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ht="15.75" customHeight="1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ht="15.75" customHeight="1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ht="15.75" customHeight="1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ht="15.75" customHeight="1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ht="15.75" customHeight="1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ht="15.75" customHeight="1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ht="15.75" customHeight="1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ht="15.75" customHeight="1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ht="15.75" customHeight="1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ht="15.75" customHeight="1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ht="15.75" customHeight="1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ht="15.75" customHeight="1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ht="15.75" customHeight="1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ht="15.75" customHeight="1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ht="15.75" customHeight="1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ht="15.75" customHeight="1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ht="15.75" customHeight="1">
      <c r="A35" s="1" t="s">
        <v>11</v>
      </c>
      <c r="B35" s="1"/>
      <c r="C35" s="5">
        <f>MAX(C3:C34)</f>
        <v>0</v>
      </c>
      <c r="D35" s="2">
        <f>MAX(D3:D34)</f>
        <v>0</v>
      </c>
      <c r="E35" s="1"/>
      <c r="F35" s="7"/>
      <c r="G35" s="1" t="s">
        <v>11</v>
      </c>
      <c r="H35" s="1"/>
      <c r="I35" s="5">
        <f>MAX(I3:I34)</f>
        <v>0</v>
      </c>
      <c r="J35" s="2">
        <f>MAX(J3:J34)</f>
        <v>0</v>
      </c>
      <c r="K35" s="1"/>
      <c r="L35" s="7"/>
      <c r="M35" s="1" t="s">
        <v>11</v>
      </c>
      <c r="N35" s="1"/>
      <c r="O35" s="5">
        <f>MAX(O3:O34)</f>
        <v>0</v>
      </c>
      <c r="P35" s="2">
        <f>MAX(P3:P34)</f>
        <v>0</v>
      </c>
      <c r="Q35" s="1"/>
    </row>
    <row r="36" ht="15.75" customHeight="1">
      <c r="A36" s="1" t="s">
        <v>12</v>
      </c>
      <c r="B36" s="1"/>
      <c r="C36" s="1"/>
      <c r="D36" s="1"/>
      <c r="E36" s="5" t="e">
        <f>MEDIAN(E3:E34)</f>
        <v>#VALUE!</v>
      </c>
      <c r="F36" s="7"/>
      <c r="G36" s="1" t="s">
        <v>12</v>
      </c>
      <c r="H36" s="1"/>
      <c r="I36" s="1"/>
      <c r="J36" s="1"/>
      <c r="K36" s="5" t="e">
        <f>MEDIAN(K3:K34)</f>
        <v>#VALUE!</v>
      </c>
      <c r="L36" s="7"/>
      <c r="M36" s="1" t="s">
        <v>12</v>
      </c>
      <c r="N36" s="1"/>
      <c r="O36" s="1"/>
      <c r="P36" s="1"/>
      <c r="Q36" s="5" t="e">
        <f>MEDIAN(Q3:Q34)</f>
        <v>#VALUE!</v>
      </c>
    </row>
    <row r="37" ht="15.75" customHeight="1">
      <c r="A37" s="5" t="s">
        <v>13</v>
      </c>
      <c r="B37" s="5">
        <f>MIN(B3:B34)</f>
        <v>0</v>
      </c>
      <c r="C37" s="5"/>
      <c r="D37" s="5"/>
      <c r="E37" s="5"/>
      <c r="F37" s="6"/>
      <c r="G37" s="5" t="s">
        <v>13</v>
      </c>
      <c r="H37" s="5">
        <f>MIN(H3:H34)</f>
        <v>0</v>
      </c>
      <c r="I37" s="5"/>
      <c r="J37" s="5"/>
      <c r="K37" s="5"/>
      <c r="L37" s="6"/>
      <c r="M37" s="5" t="s">
        <v>13</v>
      </c>
      <c r="N37" s="5">
        <f>MIN(N3:N34)</f>
        <v>0</v>
      </c>
      <c r="O37" s="5"/>
      <c r="P37" s="5"/>
      <c r="Q37" s="5"/>
    </row>
  </sheetData>
  <printOptions headings="0" gridLines="0"/>
  <pageMargins left="0.69999999999999996" right="0.69999999999999996" top="0.75" bottom="0.75" header="0.51181102362205" footer="0.51181102362205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N3" activeCellId="0" sqref="N3:Q34"/>
    </sheetView>
  </sheetViews>
  <sheetFormatPr defaultColWidth="11.5703125" defaultRowHeight="14.25"/>
  <cols>
    <col bestFit="1" customWidth="1" min="1" max="1" width="14.28515625"/>
    <col bestFit="1" customWidth="1" min="2" max="2" width="6.7109375"/>
    <col bestFit="1" customWidth="1" min="3" max="4" width="5.140625"/>
    <col bestFit="1" customWidth="1" min="5" max="5" width="4.5703125"/>
    <col bestFit="1" customWidth="1" min="7" max="7" width="14.28515625"/>
    <col bestFit="1" customWidth="1" min="8" max="8" width="6.7109375"/>
    <col bestFit="1" customWidth="1" min="9" max="9" width="5.140625"/>
    <col bestFit="1" customWidth="1" min="10" max="10" width="6.140625"/>
    <col bestFit="1" customWidth="1" min="11" max="11" width="4.5703125"/>
    <col bestFit="1" customWidth="1" min="13" max="13" width="14.28515625"/>
    <col bestFit="1" customWidth="1" min="14" max="14" width="6.7109375"/>
    <col bestFit="1" customWidth="1" min="15" max="15" width="5.140625"/>
    <col bestFit="1" customWidth="1" min="16" max="16" width="7.140625"/>
    <col bestFit="1" customWidth="1" min="17" max="17" width="4.5703125"/>
  </cols>
  <sheetData>
    <row r="1" ht="15.75" customHeight="1">
      <c r="A1" s="1" t="s">
        <v>36</v>
      </c>
      <c r="B1" s="2">
        <v>-87.930000000000007</v>
      </c>
      <c r="C1" s="2">
        <v>13.08</v>
      </c>
      <c r="D1" s="1" t="s">
        <v>37</v>
      </c>
      <c r="E1" s="1"/>
      <c r="F1" s="3"/>
      <c r="G1" s="1" t="s">
        <v>38</v>
      </c>
      <c r="H1" s="2">
        <v>-88.099999999999994</v>
      </c>
      <c r="I1" s="2">
        <v>12.75</v>
      </c>
      <c r="J1" s="1" t="s">
        <v>39</v>
      </c>
      <c r="K1" s="1"/>
      <c r="L1" s="3"/>
      <c r="M1" s="1" t="s">
        <v>40</v>
      </c>
      <c r="N1" s="2">
        <v>-88.349999999999994</v>
      </c>
      <c r="O1" s="2">
        <v>12.33</v>
      </c>
      <c r="P1" s="1" t="s">
        <v>41</v>
      </c>
      <c r="Q1" s="1"/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/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</row>
    <row r="3" ht="15.75" customHeight="1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ht="15.75" customHeight="1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ht="15.75" customHeight="1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ht="15.75" customHeight="1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ht="15.75" customHeight="1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ht="15.75" customHeight="1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ht="15.75" customHeight="1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ht="15.75" customHeight="1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ht="15.75" customHeight="1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ht="15.75" customHeight="1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ht="15.75" customHeight="1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ht="15.75" customHeight="1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ht="15.75" customHeight="1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ht="15.75" customHeight="1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ht="15.75" customHeight="1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ht="15.75" customHeight="1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ht="15.75" customHeight="1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ht="15.75" customHeight="1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ht="15.75" customHeight="1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ht="15.75" customHeight="1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ht="15.75" customHeight="1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ht="15.75" customHeight="1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ht="15.75" customHeight="1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ht="15.75" customHeight="1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ht="15.75" customHeight="1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ht="15.75" customHeight="1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ht="15.75" customHeight="1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ht="15.75" customHeight="1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ht="15.75" customHeight="1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ht="15.75" customHeight="1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ht="15.75" customHeight="1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ht="15.75" customHeight="1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ht="15.75" customHeight="1">
      <c r="A35" s="1" t="s">
        <v>11</v>
      </c>
      <c r="B35" s="1"/>
      <c r="C35" s="5">
        <f>MAX(C3:C34)</f>
        <v>0</v>
      </c>
      <c r="D35" s="2">
        <f>MAX(D3:D34)</f>
        <v>0</v>
      </c>
      <c r="E35" s="1"/>
      <c r="F35" s="7"/>
      <c r="G35" s="1" t="s">
        <v>11</v>
      </c>
      <c r="H35" s="1"/>
      <c r="I35" s="5">
        <f>MAX(I3:I34)</f>
        <v>0</v>
      </c>
      <c r="J35" s="2">
        <f>MAX(J3:J34)</f>
        <v>0</v>
      </c>
      <c r="K35" s="1"/>
      <c r="L35" s="7"/>
      <c r="M35" s="1" t="s">
        <v>11</v>
      </c>
      <c r="N35" s="1"/>
      <c r="O35" s="5">
        <f>MAX(O3:O34)</f>
        <v>0</v>
      </c>
      <c r="P35" s="2">
        <f>MAX(P3:P34)</f>
        <v>0</v>
      </c>
      <c r="Q35" s="1"/>
    </row>
    <row r="36" ht="15.75" customHeight="1">
      <c r="A36" s="1" t="s">
        <v>12</v>
      </c>
      <c r="B36" s="1"/>
      <c r="C36" s="1"/>
      <c r="D36" s="1"/>
      <c r="E36" s="5" t="e">
        <f>MEDIAN(E3:E34)</f>
        <v>#VALUE!</v>
      </c>
      <c r="F36" s="7"/>
      <c r="G36" s="1" t="s">
        <v>12</v>
      </c>
      <c r="H36" s="1"/>
      <c r="I36" s="1"/>
      <c r="J36" s="1"/>
      <c r="K36" s="5" t="e">
        <f>MEDIAN(K3:K34)</f>
        <v>#VALUE!</v>
      </c>
      <c r="L36" s="7"/>
      <c r="M36" s="1" t="s">
        <v>12</v>
      </c>
      <c r="N36" s="1"/>
      <c r="O36" s="1"/>
      <c r="P36" s="1"/>
      <c r="Q36" s="5" t="e">
        <f>MEDIAN(Q3:Q34)</f>
        <v>#VALUE!</v>
      </c>
    </row>
    <row r="37" ht="15.75" customHeight="1">
      <c r="A37" s="5" t="s">
        <v>13</v>
      </c>
      <c r="B37" s="5">
        <f>MIN(B3:B34)</f>
        <v>0</v>
      </c>
      <c r="C37" s="5"/>
      <c r="D37" s="5"/>
      <c r="E37" s="5"/>
      <c r="F37" s="6"/>
      <c r="G37" s="5" t="s">
        <v>13</v>
      </c>
      <c r="H37" s="5">
        <f>MIN(H3:H34)</f>
        <v>0</v>
      </c>
      <c r="I37" s="5"/>
      <c r="J37" s="5"/>
      <c r="K37" s="5"/>
      <c r="L37" s="6"/>
      <c r="M37" s="5" t="s">
        <v>13</v>
      </c>
      <c r="N37" s="5">
        <f>MIN(N3:N34)</f>
        <v>0</v>
      </c>
      <c r="O37" s="5"/>
      <c r="P37" s="5"/>
      <c r="Q37" s="5"/>
    </row>
  </sheetData>
  <printOptions headings="0" gridLines="0"/>
  <pageMargins left="0.69999999999999996" right="0.69999999999999996" top="0.75" bottom="0.75" header="0.51181102362205" footer="0.51181102362205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>Hewlett-Packard Company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IIDRAHULICO</dc:creator>
  <dc:description/>
  <dc:language>en-US</dc:language>
  <cp:revision>2</cp:revision>
  <dcterms:created xsi:type="dcterms:W3CDTF">2019-01-28T21:55:52Z</dcterms:created>
  <dcterms:modified xsi:type="dcterms:W3CDTF">2025-07-02T21:11:05Z</dcterms:modified>
</cp:coreProperties>
</file>